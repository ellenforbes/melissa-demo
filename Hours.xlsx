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enForbes\Desktop\"/>
    </mc:Choice>
  </mc:AlternateContent>
  <xr:revisionPtr revIDLastSave="0" documentId="13_ncr:1_{A184C267-914B-4F5E-B832-517D7CB6B43C}" xr6:coauthVersionLast="47" xr6:coauthVersionMax="47" xr10:uidLastSave="{00000000-0000-0000-0000-000000000000}"/>
  <bookViews>
    <workbookView xWindow="345" yWindow="360" windowWidth="27825" windowHeight="14130" xr2:uid="{43D96C33-BE74-4F1D-A054-536983E30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5" i="1"/>
  <c r="F139" i="1"/>
  <c r="F132" i="1"/>
  <c r="F125" i="1"/>
  <c r="F118" i="1"/>
  <c r="F111" i="1"/>
  <c r="F104" i="1"/>
  <c r="F97" i="1"/>
  <c r="F90" i="1"/>
  <c r="F83" i="1"/>
  <c r="F76" i="1"/>
  <c r="F69" i="1"/>
  <c r="F62" i="1"/>
  <c r="F55" i="1"/>
  <c r="F48" i="1"/>
  <c r="F41" i="1"/>
  <c r="F34" i="1"/>
  <c r="F27" i="1"/>
  <c r="F20" i="1"/>
  <c r="F13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3" i="1"/>
  <c r="E4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F6" i="1" l="1"/>
</calcChain>
</file>

<file path=xl/sharedStrings.xml><?xml version="1.0" encoding="utf-8"?>
<sst xmlns="http://schemas.openxmlformats.org/spreadsheetml/2006/main" count="12" uniqueCount="12">
  <si>
    <t>Date</t>
  </si>
  <si>
    <t>Start</t>
  </si>
  <si>
    <t>End</t>
  </si>
  <si>
    <t>Break</t>
  </si>
  <si>
    <t>Hours Worked</t>
  </si>
  <si>
    <t>Notes</t>
  </si>
  <si>
    <t>Public Holiday</t>
  </si>
  <si>
    <t>Public Holiday Hours</t>
  </si>
  <si>
    <t>Missing Port Data Insert, GIS Yagen Reassignment, AB GIS issues, ROM Survey Importer, Monthly Report Planning, Logistics Data Review, DBCT Request</t>
  </si>
  <si>
    <t>Week Total (30.4 Aim)</t>
  </si>
  <si>
    <t>Koala Glider Project, Water Telemetry Issues, Data Project Planning, Safety Data Death Spiral</t>
  </si>
  <si>
    <t>Sedgman Data Supply, Product Stockpile Importer, Fix Jamie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</si>
</sst>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2" fontId="0" fillId="0" borderId="0" xfId="0" applyNumberFormat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3" borderId="0" xfId="0" applyFill="1"/>
    <xf numFmtId="2" fontId="0" fillId="2" borderId="0" xfId="0" applyNumberFormat="1" applyFill="1"/>
    <xf numFmtId="2" fontId="0" fillId="3" borderId="0" xfId="0" applyNumberFormat="1" applyFill="1"/>
    <xf numFmtId="0" fontId="1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B1B032-16CF-4F7F-9A48-F52CEF455A3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f2a4bce-a36a-4ea7-b419-1af0d52eac8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E892-9ED0-414D-850D-F19E168986FE}">
  <dimension ref="A1:I145"/>
  <sheetViews>
    <sheetView tabSelected="1" workbookViewId="0">
      <selection activeCell="G6" sqref="G6"/>
    </sheetView>
  </sheetViews>
  <sheetFormatPr defaultRowHeight="15" x14ac:dyDescent="0.25"/>
  <cols>
    <col min="1" max="1" width="28.85546875" bestFit="1" customWidth="1"/>
    <col min="2" max="3" width="10.28515625" style="2" bestFit="1" customWidth="1"/>
    <col min="4" max="4" width="7.140625" bestFit="1" customWidth="1"/>
    <col min="5" max="5" width="13.5703125" bestFit="1" customWidth="1"/>
    <col min="6" max="6" width="20.140625" bestFit="1" customWidth="1"/>
    <col min="7" max="7" width="135.5703125" bestFit="1" customWidth="1"/>
    <col min="8" max="8" width="9.140625" customWidth="1"/>
  </cols>
  <sheetData>
    <row r="1" spans="1:9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9</v>
      </c>
      <c r="G1" t="s">
        <v>5</v>
      </c>
      <c r="I1" s="13" t="s">
        <v>7</v>
      </c>
    </row>
    <row r="2" spans="1:9" x14ac:dyDescent="0.25">
      <c r="A2" s="1">
        <v>46244</v>
      </c>
      <c r="B2" s="2">
        <v>0.33333333333333331</v>
      </c>
      <c r="C2" s="2">
        <v>0.71875</v>
      </c>
      <c r="D2" s="3">
        <v>2.0833333333333332E-2</v>
      </c>
      <c r="E2" s="4">
        <f>IF(OR(WEEKDAY($A2,1)=3,WEEKDAY($A2,1)=7,WEEKDAY($A2,1)=1),"",IF($G2="Public Holiday",$I$2,IF(COUNT(B2:C2)&lt;2,"",(C2-B2-D2)*24)))</f>
        <v>8.75</v>
      </c>
      <c r="F2" s="4"/>
      <c r="G2" t="s">
        <v>8</v>
      </c>
      <c r="I2" s="14">
        <v>7.6</v>
      </c>
    </row>
    <row r="3" spans="1:9" x14ac:dyDescent="0.25">
      <c r="A3" s="5">
        <v>46245</v>
      </c>
      <c r="B3" s="6"/>
      <c r="C3" s="6"/>
      <c r="D3" s="7"/>
      <c r="E3" s="11" t="str">
        <f t="shared" ref="E3:E22" si="0">IF(OR(WEEKDAY($A3,1)=3,WEEKDAY($A3,1)=7,WEEKDAY($A3,1)=1),"",IF($G3="Public Holiday",$I$2,(C3-B3-D3)*24))</f>
        <v/>
      </c>
      <c r="F3" s="11"/>
      <c r="G3" s="7"/>
    </row>
    <row r="4" spans="1:9" x14ac:dyDescent="0.25">
      <c r="A4" s="8">
        <v>46246</v>
      </c>
      <c r="B4" s="9"/>
      <c r="C4" s="9"/>
      <c r="D4" s="10"/>
      <c r="E4" s="12">
        <f t="shared" si="0"/>
        <v>7.6</v>
      </c>
      <c r="F4" s="12"/>
      <c r="G4" s="10" t="s">
        <v>6</v>
      </c>
    </row>
    <row r="5" spans="1:9" x14ac:dyDescent="0.25">
      <c r="A5" s="1">
        <v>46247</v>
      </c>
      <c r="B5" s="2">
        <v>0.375</v>
      </c>
      <c r="C5" s="2">
        <v>0.65625</v>
      </c>
      <c r="D5" s="3">
        <v>2.0833333333333332E-2</v>
      </c>
      <c r="E5">
        <f>IF(OR(WEEKDAY($A5,1)=3,WEEKDAY($A5,1)=7,WEEKDAY($A5,1)=1),"",IF($G5="Public Holiday",$I$2,(C5-B5-D5)*24))</f>
        <v>6.25</v>
      </c>
      <c r="F5" s="4"/>
      <c r="G5" t="s">
        <v>10</v>
      </c>
    </row>
    <row r="6" spans="1:9" x14ac:dyDescent="0.25">
      <c r="A6" s="1">
        <v>46248</v>
      </c>
      <c r="B6" s="2">
        <v>0.35416666666666669</v>
      </c>
      <c r="C6" s="2">
        <v>0.72916666666666663</v>
      </c>
      <c r="D6" s="3">
        <v>6.25E-2</v>
      </c>
      <c r="E6">
        <f t="shared" si="0"/>
        <v>7.4999999999999982</v>
      </c>
      <c r="F6" s="4">
        <f>SUM(E2:E6)</f>
        <v>30.1</v>
      </c>
      <c r="G6" t="s">
        <v>11</v>
      </c>
    </row>
    <row r="7" spans="1:9" x14ac:dyDescent="0.25">
      <c r="A7" s="5">
        <v>46249</v>
      </c>
      <c r="B7" s="6"/>
      <c r="C7" s="6"/>
      <c r="D7" s="7"/>
      <c r="E7" s="7" t="str">
        <f t="shared" si="0"/>
        <v/>
      </c>
      <c r="F7" s="7"/>
      <c r="G7" s="7"/>
    </row>
    <row r="8" spans="1:9" x14ac:dyDescent="0.25">
      <c r="A8" s="5">
        <v>46250</v>
      </c>
      <c r="B8" s="6"/>
      <c r="C8" s="6"/>
      <c r="D8" s="7"/>
      <c r="E8" s="7" t="str">
        <f t="shared" si="0"/>
        <v/>
      </c>
      <c r="F8" s="7"/>
      <c r="G8" s="7"/>
    </row>
    <row r="9" spans="1:9" x14ac:dyDescent="0.25">
      <c r="A9" s="1">
        <v>46251</v>
      </c>
      <c r="E9">
        <f t="shared" si="0"/>
        <v>0</v>
      </c>
    </row>
    <row r="10" spans="1:9" x14ac:dyDescent="0.25">
      <c r="A10" s="5">
        <v>46252</v>
      </c>
      <c r="B10" s="6"/>
      <c r="C10" s="6"/>
      <c r="D10" s="7"/>
      <c r="E10" s="7" t="str">
        <f t="shared" si="0"/>
        <v/>
      </c>
      <c r="F10" s="7"/>
      <c r="G10" s="7"/>
    </row>
    <row r="11" spans="1:9" x14ac:dyDescent="0.25">
      <c r="A11" s="1">
        <v>46253</v>
      </c>
      <c r="E11">
        <f t="shared" si="0"/>
        <v>0</v>
      </c>
    </row>
    <row r="12" spans="1:9" x14ac:dyDescent="0.25">
      <c r="A12" s="1">
        <v>46254</v>
      </c>
      <c r="E12">
        <f t="shared" si="0"/>
        <v>0</v>
      </c>
    </row>
    <row r="13" spans="1:9" x14ac:dyDescent="0.25">
      <c r="A13" s="1">
        <v>46255</v>
      </c>
      <c r="E13">
        <f t="shared" si="0"/>
        <v>0</v>
      </c>
      <c r="F13" s="4">
        <f>SUM(E9:E13)</f>
        <v>0</v>
      </c>
    </row>
    <row r="14" spans="1:9" x14ac:dyDescent="0.25">
      <c r="A14" s="5">
        <v>46256</v>
      </c>
      <c r="B14" s="6"/>
      <c r="C14" s="6"/>
      <c r="D14" s="7"/>
      <c r="E14" s="7" t="str">
        <f t="shared" si="0"/>
        <v/>
      </c>
      <c r="F14" s="7"/>
      <c r="G14" s="7"/>
    </row>
    <row r="15" spans="1:9" x14ac:dyDescent="0.25">
      <c r="A15" s="5">
        <v>46257</v>
      </c>
      <c r="B15" s="6"/>
      <c r="C15" s="6"/>
      <c r="D15" s="7"/>
      <c r="E15" s="7" t="str">
        <f t="shared" si="0"/>
        <v/>
      </c>
      <c r="F15" s="7"/>
      <c r="G15" s="7"/>
    </row>
    <row r="16" spans="1:9" x14ac:dyDescent="0.25">
      <c r="A16" s="1">
        <v>46258</v>
      </c>
      <c r="E16">
        <f t="shared" si="0"/>
        <v>0</v>
      </c>
    </row>
    <row r="17" spans="1:7" x14ac:dyDescent="0.25">
      <c r="A17" s="5">
        <v>46259</v>
      </c>
      <c r="B17" s="6"/>
      <c r="C17" s="6"/>
      <c r="D17" s="7"/>
      <c r="E17" s="7" t="str">
        <f t="shared" si="0"/>
        <v/>
      </c>
      <c r="F17" s="7"/>
      <c r="G17" s="7"/>
    </row>
    <row r="18" spans="1:7" x14ac:dyDescent="0.25">
      <c r="A18" s="1">
        <v>46260</v>
      </c>
      <c r="E18">
        <f t="shared" si="0"/>
        <v>0</v>
      </c>
    </row>
    <row r="19" spans="1:7" x14ac:dyDescent="0.25">
      <c r="A19" s="1">
        <v>46261</v>
      </c>
      <c r="E19">
        <f t="shared" si="0"/>
        <v>0</v>
      </c>
    </row>
    <row r="20" spans="1:7" x14ac:dyDescent="0.25">
      <c r="A20" s="1">
        <v>46262</v>
      </c>
      <c r="E20">
        <f t="shared" si="0"/>
        <v>0</v>
      </c>
      <c r="F20" s="4">
        <f>SUM(E16:E20)</f>
        <v>0</v>
      </c>
    </row>
    <row r="21" spans="1:7" x14ac:dyDescent="0.25">
      <c r="A21" s="5">
        <v>46263</v>
      </c>
      <c r="B21" s="6"/>
      <c r="C21" s="6"/>
      <c r="D21" s="7"/>
      <c r="E21" s="7" t="str">
        <f t="shared" si="0"/>
        <v/>
      </c>
      <c r="F21" s="7"/>
      <c r="G21" s="7"/>
    </row>
    <row r="22" spans="1:7" x14ac:dyDescent="0.25">
      <c r="A22" s="5">
        <v>46264</v>
      </c>
      <c r="B22" s="6"/>
      <c r="C22" s="6"/>
      <c r="D22" s="7"/>
      <c r="E22" s="7" t="str">
        <f t="shared" si="0"/>
        <v/>
      </c>
      <c r="F22" s="7"/>
      <c r="G22" s="7"/>
    </row>
    <row r="23" spans="1:7" x14ac:dyDescent="0.25">
      <c r="A23" s="1">
        <v>46265</v>
      </c>
      <c r="E23">
        <f t="shared" ref="E23:E71" si="1">IF(OR(WEEKDAY($A23,1)=3,WEEKDAY($A23,1)=7,WEEKDAY($A23,1)=1),"",IF($G23="Public Holiday",$I$2,(C23-B23-D23)*24))</f>
        <v>0</v>
      </c>
    </row>
    <row r="24" spans="1:7" x14ac:dyDescent="0.25">
      <c r="A24" s="5">
        <v>46266</v>
      </c>
      <c r="B24" s="6"/>
      <c r="C24" s="6"/>
      <c r="D24" s="7"/>
      <c r="E24" s="7" t="str">
        <f t="shared" si="1"/>
        <v/>
      </c>
      <c r="F24" s="7"/>
      <c r="G24" s="7"/>
    </row>
    <row r="25" spans="1:7" x14ac:dyDescent="0.25">
      <c r="A25" s="1">
        <v>46267</v>
      </c>
      <c r="E25">
        <f t="shared" si="1"/>
        <v>0</v>
      </c>
    </row>
    <row r="26" spans="1:7" x14ac:dyDescent="0.25">
      <c r="A26" s="1">
        <v>46268</v>
      </c>
      <c r="E26">
        <f t="shared" si="1"/>
        <v>0</v>
      </c>
    </row>
    <row r="27" spans="1:7" x14ac:dyDescent="0.25">
      <c r="A27" s="1">
        <v>46269</v>
      </c>
      <c r="E27">
        <f t="shared" si="1"/>
        <v>0</v>
      </c>
      <c r="F27" s="4">
        <f>SUM(E23:E27)</f>
        <v>0</v>
      </c>
    </row>
    <row r="28" spans="1:7" x14ac:dyDescent="0.25">
      <c r="A28" s="5">
        <v>46270</v>
      </c>
      <c r="B28" s="6"/>
      <c r="C28" s="6"/>
      <c r="D28" s="7"/>
      <c r="E28" s="7" t="str">
        <f t="shared" si="1"/>
        <v/>
      </c>
      <c r="F28" s="7"/>
      <c r="G28" s="7"/>
    </row>
    <row r="29" spans="1:7" x14ac:dyDescent="0.25">
      <c r="A29" s="5">
        <v>46271</v>
      </c>
      <c r="B29" s="6"/>
      <c r="C29" s="6"/>
      <c r="D29" s="7"/>
      <c r="E29" s="7" t="str">
        <f t="shared" si="1"/>
        <v/>
      </c>
      <c r="F29" s="7"/>
      <c r="G29" s="7"/>
    </row>
    <row r="30" spans="1:7" x14ac:dyDescent="0.25">
      <c r="A30" s="1">
        <v>46272</v>
      </c>
      <c r="E30">
        <f t="shared" si="1"/>
        <v>0</v>
      </c>
    </row>
    <row r="31" spans="1:7" x14ac:dyDescent="0.25">
      <c r="A31" s="5">
        <v>46273</v>
      </c>
      <c r="B31" s="6"/>
      <c r="C31" s="6"/>
      <c r="D31" s="7"/>
      <c r="E31" s="7" t="str">
        <f t="shared" si="1"/>
        <v/>
      </c>
      <c r="F31" s="7"/>
      <c r="G31" s="7"/>
    </row>
    <row r="32" spans="1:7" x14ac:dyDescent="0.25">
      <c r="A32" s="1">
        <v>46274</v>
      </c>
      <c r="E32">
        <f t="shared" si="1"/>
        <v>0</v>
      </c>
    </row>
    <row r="33" spans="1:7" x14ac:dyDescent="0.25">
      <c r="A33" s="1">
        <v>46275</v>
      </c>
      <c r="E33">
        <f t="shared" si="1"/>
        <v>0</v>
      </c>
    </row>
    <row r="34" spans="1:7" x14ac:dyDescent="0.25">
      <c r="A34" s="1">
        <v>46276</v>
      </c>
      <c r="E34">
        <f t="shared" si="1"/>
        <v>0</v>
      </c>
      <c r="F34" s="4">
        <f>SUM(E30:E34)</f>
        <v>0</v>
      </c>
    </row>
    <row r="35" spans="1:7" x14ac:dyDescent="0.25">
      <c r="A35" s="5">
        <v>46277</v>
      </c>
      <c r="B35" s="6"/>
      <c r="C35" s="6"/>
      <c r="D35" s="7"/>
      <c r="E35" s="7" t="str">
        <f t="shared" si="1"/>
        <v/>
      </c>
      <c r="F35" s="7"/>
      <c r="G35" s="7"/>
    </row>
    <row r="36" spans="1:7" x14ac:dyDescent="0.25">
      <c r="A36" s="5">
        <v>46278</v>
      </c>
      <c r="B36" s="6"/>
      <c r="C36" s="6"/>
      <c r="D36" s="7"/>
      <c r="E36" s="7" t="str">
        <f t="shared" si="1"/>
        <v/>
      </c>
      <c r="F36" s="7"/>
      <c r="G36" s="7"/>
    </row>
    <row r="37" spans="1:7" x14ac:dyDescent="0.25">
      <c r="A37" s="1">
        <v>46279</v>
      </c>
      <c r="E37">
        <f t="shared" si="1"/>
        <v>0</v>
      </c>
    </row>
    <row r="38" spans="1:7" x14ac:dyDescent="0.25">
      <c r="A38" s="5">
        <v>46280</v>
      </c>
      <c r="B38" s="6"/>
      <c r="C38" s="6"/>
      <c r="D38" s="7"/>
      <c r="E38" s="7" t="str">
        <f t="shared" si="1"/>
        <v/>
      </c>
      <c r="F38" s="7"/>
      <c r="G38" s="7"/>
    </row>
    <row r="39" spans="1:7" x14ac:dyDescent="0.25">
      <c r="A39" s="1">
        <v>46281</v>
      </c>
      <c r="E39">
        <f t="shared" si="1"/>
        <v>0</v>
      </c>
    </row>
    <row r="40" spans="1:7" x14ac:dyDescent="0.25">
      <c r="A40" s="1">
        <v>46282</v>
      </c>
      <c r="E40">
        <f t="shared" si="1"/>
        <v>0</v>
      </c>
    </row>
    <row r="41" spans="1:7" x14ac:dyDescent="0.25">
      <c r="A41" s="1">
        <v>46283</v>
      </c>
      <c r="E41">
        <f t="shared" si="1"/>
        <v>0</v>
      </c>
      <c r="F41" s="4">
        <f>SUM(E37:E41)</f>
        <v>0</v>
      </c>
    </row>
    <row r="42" spans="1:7" x14ac:dyDescent="0.25">
      <c r="A42" s="5">
        <v>46284</v>
      </c>
      <c r="B42" s="6"/>
      <c r="C42" s="6"/>
      <c r="D42" s="7"/>
      <c r="E42" s="7" t="str">
        <f t="shared" si="1"/>
        <v/>
      </c>
      <c r="F42" s="7"/>
      <c r="G42" s="7"/>
    </row>
    <row r="43" spans="1:7" x14ac:dyDescent="0.25">
      <c r="A43" s="5">
        <v>46285</v>
      </c>
      <c r="B43" s="6"/>
      <c r="C43" s="6"/>
      <c r="D43" s="7"/>
      <c r="E43" s="7" t="str">
        <f t="shared" si="1"/>
        <v/>
      </c>
      <c r="F43" s="7"/>
      <c r="G43" s="7"/>
    </row>
    <row r="44" spans="1:7" x14ac:dyDescent="0.25">
      <c r="A44" s="1">
        <v>46286</v>
      </c>
      <c r="E44">
        <f t="shared" si="1"/>
        <v>0</v>
      </c>
    </row>
    <row r="45" spans="1:7" x14ac:dyDescent="0.25">
      <c r="A45" s="5">
        <v>46287</v>
      </c>
      <c r="B45" s="6"/>
      <c r="C45" s="6"/>
      <c r="D45" s="7"/>
      <c r="E45" s="7" t="str">
        <f t="shared" si="1"/>
        <v/>
      </c>
      <c r="F45" s="7"/>
      <c r="G45" s="7"/>
    </row>
    <row r="46" spans="1:7" x14ac:dyDescent="0.25">
      <c r="A46" s="1">
        <v>46288</v>
      </c>
      <c r="E46">
        <f t="shared" si="1"/>
        <v>0</v>
      </c>
    </row>
    <row r="47" spans="1:7" x14ac:dyDescent="0.25">
      <c r="A47" s="1">
        <v>46289</v>
      </c>
      <c r="E47">
        <f t="shared" si="1"/>
        <v>0</v>
      </c>
    </row>
    <row r="48" spans="1:7" x14ac:dyDescent="0.25">
      <c r="A48" s="1">
        <v>46290</v>
      </c>
      <c r="E48">
        <f t="shared" si="1"/>
        <v>0</v>
      </c>
      <c r="F48" s="4">
        <f>SUM(E44:E48)</f>
        <v>0</v>
      </c>
    </row>
    <row r="49" spans="1:7" x14ac:dyDescent="0.25">
      <c r="A49" s="5">
        <v>46291</v>
      </c>
      <c r="B49" s="6"/>
      <c r="C49" s="6"/>
      <c r="D49" s="7"/>
      <c r="E49" s="7" t="str">
        <f t="shared" si="1"/>
        <v/>
      </c>
      <c r="F49" s="7"/>
      <c r="G49" s="7"/>
    </row>
    <row r="50" spans="1:7" x14ac:dyDescent="0.25">
      <c r="A50" s="5">
        <v>46292</v>
      </c>
      <c r="B50" s="6"/>
      <c r="C50" s="6"/>
      <c r="D50" s="7"/>
      <c r="E50" s="7" t="str">
        <f t="shared" si="1"/>
        <v/>
      </c>
      <c r="F50" s="7"/>
      <c r="G50" s="7"/>
    </row>
    <row r="51" spans="1:7" x14ac:dyDescent="0.25">
      <c r="A51" s="1">
        <v>46293</v>
      </c>
      <c r="E51">
        <f t="shared" si="1"/>
        <v>0</v>
      </c>
    </row>
    <row r="52" spans="1:7" x14ac:dyDescent="0.25">
      <c r="A52" s="5">
        <v>46294</v>
      </c>
      <c r="B52" s="6"/>
      <c r="C52" s="6"/>
      <c r="D52" s="7"/>
      <c r="E52" s="7" t="str">
        <f t="shared" si="1"/>
        <v/>
      </c>
      <c r="F52" s="7"/>
      <c r="G52" s="7"/>
    </row>
    <row r="53" spans="1:7" x14ac:dyDescent="0.25">
      <c r="A53" s="1">
        <v>46295</v>
      </c>
      <c r="E53">
        <f t="shared" si="1"/>
        <v>0</v>
      </c>
    </row>
    <row r="54" spans="1:7" x14ac:dyDescent="0.25">
      <c r="A54" s="1">
        <v>46296</v>
      </c>
      <c r="E54">
        <f t="shared" si="1"/>
        <v>0</v>
      </c>
    </row>
    <row r="55" spans="1:7" x14ac:dyDescent="0.25">
      <c r="A55" s="1">
        <v>46297</v>
      </c>
      <c r="E55">
        <f t="shared" si="1"/>
        <v>0</v>
      </c>
      <c r="F55" s="4">
        <f>SUM(E51:E55)</f>
        <v>0</v>
      </c>
    </row>
    <row r="56" spans="1:7" x14ac:dyDescent="0.25">
      <c r="A56" s="5">
        <v>46298</v>
      </c>
      <c r="B56" s="6"/>
      <c r="C56" s="6"/>
      <c r="D56" s="7"/>
      <c r="E56" s="7" t="str">
        <f t="shared" si="1"/>
        <v/>
      </c>
      <c r="F56" s="7"/>
      <c r="G56" s="7"/>
    </row>
    <row r="57" spans="1:7" x14ac:dyDescent="0.25">
      <c r="A57" s="5">
        <v>46299</v>
      </c>
      <c r="B57" s="6"/>
      <c r="C57" s="6"/>
      <c r="D57" s="7"/>
      <c r="E57" s="7" t="str">
        <f t="shared" si="1"/>
        <v/>
      </c>
      <c r="F57" s="7"/>
      <c r="G57" s="7"/>
    </row>
    <row r="58" spans="1:7" x14ac:dyDescent="0.25">
      <c r="A58" s="1">
        <v>46300</v>
      </c>
      <c r="E58">
        <f t="shared" si="1"/>
        <v>0</v>
      </c>
    </row>
    <row r="59" spans="1:7" x14ac:dyDescent="0.25">
      <c r="A59" s="5">
        <v>46301</v>
      </c>
      <c r="B59" s="6"/>
      <c r="C59" s="6"/>
      <c r="D59" s="7"/>
      <c r="E59" s="7" t="str">
        <f t="shared" si="1"/>
        <v/>
      </c>
      <c r="F59" s="7"/>
      <c r="G59" s="7"/>
    </row>
    <row r="60" spans="1:7" x14ac:dyDescent="0.25">
      <c r="A60" s="1">
        <v>46302</v>
      </c>
      <c r="E60">
        <f t="shared" si="1"/>
        <v>0</v>
      </c>
    </row>
    <row r="61" spans="1:7" x14ac:dyDescent="0.25">
      <c r="A61" s="1">
        <v>46303</v>
      </c>
      <c r="E61">
        <f t="shared" si="1"/>
        <v>0</v>
      </c>
    </row>
    <row r="62" spans="1:7" x14ac:dyDescent="0.25">
      <c r="A62" s="1">
        <v>46304</v>
      </c>
      <c r="E62">
        <f t="shared" si="1"/>
        <v>0</v>
      </c>
      <c r="F62" s="4">
        <f>SUM(E58:E62)</f>
        <v>0</v>
      </c>
    </row>
    <row r="63" spans="1:7" x14ac:dyDescent="0.25">
      <c r="A63" s="5">
        <v>46305</v>
      </c>
      <c r="B63" s="6"/>
      <c r="C63" s="6"/>
      <c r="D63" s="7"/>
      <c r="E63" s="7" t="str">
        <f t="shared" si="1"/>
        <v/>
      </c>
      <c r="F63" s="7"/>
      <c r="G63" s="7"/>
    </row>
    <row r="64" spans="1:7" x14ac:dyDescent="0.25">
      <c r="A64" s="5">
        <v>46306</v>
      </c>
      <c r="B64" s="6"/>
      <c r="C64" s="6"/>
      <c r="D64" s="7"/>
      <c r="E64" s="7" t="str">
        <f t="shared" si="1"/>
        <v/>
      </c>
      <c r="F64" s="7"/>
      <c r="G64" s="7"/>
    </row>
    <row r="65" spans="1:7" x14ac:dyDescent="0.25">
      <c r="A65" s="1">
        <v>46307</v>
      </c>
      <c r="E65">
        <f t="shared" si="1"/>
        <v>0</v>
      </c>
    </row>
    <row r="66" spans="1:7" x14ac:dyDescent="0.25">
      <c r="A66" s="5">
        <v>46308</v>
      </c>
      <c r="B66" s="6"/>
      <c r="C66" s="6"/>
      <c r="D66" s="7"/>
      <c r="E66" s="7" t="str">
        <f t="shared" si="1"/>
        <v/>
      </c>
      <c r="F66" s="7"/>
      <c r="G66" s="7"/>
    </row>
    <row r="67" spans="1:7" x14ac:dyDescent="0.25">
      <c r="A67" s="1">
        <v>46309</v>
      </c>
      <c r="E67">
        <f t="shared" si="1"/>
        <v>0</v>
      </c>
    </row>
    <row r="68" spans="1:7" x14ac:dyDescent="0.25">
      <c r="A68" s="1">
        <v>46310</v>
      </c>
      <c r="E68">
        <f t="shared" si="1"/>
        <v>0</v>
      </c>
    </row>
    <row r="69" spans="1:7" x14ac:dyDescent="0.25">
      <c r="A69" s="1">
        <v>46311</v>
      </c>
      <c r="E69">
        <f t="shared" si="1"/>
        <v>0</v>
      </c>
      <c r="F69" s="4">
        <f>SUM(E65:E69)</f>
        <v>0</v>
      </c>
    </row>
    <row r="70" spans="1:7" x14ac:dyDescent="0.25">
      <c r="A70" s="5">
        <v>46312</v>
      </c>
      <c r="B70" s="6"/>
      <c r="C70" s="6"/>
      <c r="D70" s="7"/>
      <c r="E70" s="7" t="str">
        <f t="shared" si="1"/>
        <v/>
      </c>
      <c r="F70" s="7"/>
      <c r="G70" s="7"/>
    </row>
    <row r="71" spans="1:7" x14ac:dyDescent="0.25">
      <c r="A71" s="5">
        <v>46313</v>
      </c>
      <c r="B71" s="6"/>
      <c r="C71" s="6"/>
      <c r="D71" s="7"/>
      <c r="E71" s="7" t="str">
        <f t="shared" si="1"/>
        <v/>
      </c>
      <c r="F71" s="7"/>
      <c r="G71" s="7"/>
    </row>
    <row r="72" spans="1:7" x14ac:dyDescent="0.25">
      <c r="A72" s="1">
        <v>46314</v>
      </c>
      <c r="E72">
        <f t="shared" ref="E72:E135" si="2">IF(OR(WEEKDAY($A72,1)=3,WEEKDAY($A72,1)=7,WEEKDAY($A72,1)=1),"",IF($G72="Public Holiday",$I$2,(C72-B72-D72)*24))</f>
        <v>0</v>
      </c>
    </row>
    <row r="73" spans="1:7" x14ac:dyDescent="0.25">
      <c r="A73" s="5">
        <v>46315</v>
      </c>
      <c r="B73" s="6"/>
      <c r="C73" s="6"/>
      <c r="D73" s="7"/>
      <c r="E73" s="7" t="str">
        <f t="shared" si="2"/>
        <v/>
      </c>
      <c r="F73" s="7"/>
      <c r="G73" s="7"/>
    </row>
    <row r="74" spans="1:7" x14ac:dyDescent="0.25">
      <c r="A74" s="1">
        <v>46316</v>
      </c>
      <c r="E74">
        <f t="shared" si="2"/>
        <v>0</v>
      </c>
    </row>
    <row r="75" spans="1:7" x14ac:dyDescent="0.25">
      <c r="A75" s="1">
        <v>46317</v>
      </c>
      <c r="E75">
        <f t="shared" si="2"/>
        <v>0</v>
      </c>
    </row>
    <row r="76" spans="1:7" x14ac:dyDescent="0.25">
      <c r="A76" s="1">
        <v>46318</v>
      </c>
      <c r="E76">
        <f t="shared" si="2"/>
        <v>0</v>
      </c>
      <c r="F76" s="4">
        <f>SUM(E72:E76)</f>
        <v>0</v>
      </c>
    </row>
    <row r="77" spans="1:7" x14ac:dyDescent="0.25">
      <c r="A77" s="5">
        <v>46319</v>
      </c>
      <c r="B77" s="6"/>
      <c r="C77" s="6"/>
      <c r="D77" s="7"/>
      <c r="E77" s="7" t="str">
        <f t="shared" si="2"/>
        <v/>
      </c>
      <c r="F77" s="7"/>
      <c r="G77" s="7"/>
    </row>
    <row r="78" spans="1:7" x14ac:dyDescent="0.25">
      <c r="A78" s="5">
        <v>46320</v>
      </c>
      <c r="B78" s="6"/>
      <c r="C78" s="6"/>
      <c r="D78" s="7"/>
      <c r="E78" s="7" t="str">
        <f t="shared" si="2"/>
        <v/>
      </c>
      <c r="F78" s="7"/>
      <c r="G78" s="7"/>
    </row>
    <row r="79" spans="1:7" x14ac:dyDescent="0.25">
      <c r="A79" s="1">
        <v>46321</v>
      </c>
      <c r="E79">
        <f t="shared" si="2"/>
        <v>0</v>
      </c>
    </row>
    <row r="80" spans="1:7" x14ac:dyDescent="0.25">
      <c r="A80" s="5">
        <v>46322</v>
      </c>
      <c r="B80" s="6"/>
      <c r="C80" s="6"/>
      <c r="D80" s="7"/>
      <c r="E80" s="7" t="str">
        <f t="shared" si="2"/>
        <v/>
      </c>
      <c r="F80" s="7"/>
      <c r="G80" s="7"/>
    </row>
    <row r="81" spans="1:7" x14ac:dyDescent="0.25">
      <c r="A81" s="1">
        <v>46323</v>
      </c>
      <c r="E81">
        <f t="shared" si="2"/>
        <v>0</v>
      </c>
    </row>
    <row r="82" spans="1:7" x14ac:dyDescent="0.25">
      <c r="A82" s="1">
        <v>46324</v>
      </c>
      <c r="E82">
        <f t="shared" si="2"/>
        <v>0</v>
      </c>
    </row>
    <row r="83" spans="1:7" x14ac:dyDescent="0.25">
      <c r="A83" s="1">
        <v>46325</v>
      </c>
      <c r="E83">
        <f t="shared" si="2"/>
        <v>0</v>
      </c>
      <c r="F83" s="4">
        <f>SUM(E79:E83)</f>
        <v>0</v>
      </c>
    </row>
    <row r="84" spans="1:7" x14ac:dyDescent="0.25">
      <c r="A84" s="5">
        <v>46326</v>
      </c>
      <c r="B84" s="6"/>
      <c r="C84" s="6"/>
      <c r="D84" s="7"/>
      <c r="E84" s="7" t="str">
        <f t="shared" si="2"/>
        <v/>
      </c>
      <c r="F84" s="7"/>
      <c r="G84" s="7"/>
    </row>
    <row r="85" spans="1:7" x14ac:dyDescent="0.25">
      <c r="A85" s="5">
        <v>46327</v>
      </c>
      <c r="B85" s="6"/>
      <c r="C85" s="6"/>
      <c r="D85" s="7"/>
      <c r="E85" s="7" t="str">
        <f t="shared" si="2"/>
        <v/>
      </c>
      <c r="F85" s="7"/>
      <c r="G85" s="7"/>
    </row>
    <row r="86" spans="1:7" x14ac:dyDescent="0.25">
      <c r="A86" s="1">
        <v>46328</v>
      </c>
      <c r="E86">
        <f t="shared" si="2"/>
        <v>0</v>
      </c>
    </row>
    <row r="87" spans="1:7" x14ac:dyDescent="0.25">
      <c r="A87" s="5">
        <v>46329</v>
      </c>
      <c r="B87" s="6"/>
      <c r="C87" s="6"/>
      <c r="D87" s="7"/>
      <c r="E87" s="7" t="str">
        <f t="shared" si="2"/>
        <v/>
      </c>
      <c r="F87" s="7"/>
      <c r="G87" s="7"/>
    </row>
    <row r="88" spans="1:7" x14ac:dyDescent="0.25">
      <c r="A88" s="1">
        <v>46330</v>
      </c>
      <c r="E88">
        <f t="shared" si="2"/>
        <v>0</v>
      </c>
    </row>
    <row r="89" spans="1:7" x14ac:dyDescent="0.25">
      <c r="A89" s="1">
        <v>46331</v>
      </c>
      <c r="E89">
        <f t="shared" si="2"/>
        <v>0</v>
      </c>
    </row>
    <row r="90" spans="1:7" x14ac:dyDescent="0.25">
      <c r="A90" s="1">
        <v>46332</v>
      </c>
      <c r="E90">
        <f t="shared" si="2"/>
        <v>0</v>
      </c>
      <c r="F90" s="4">
        <f>SUM(E86:E90)</f>
        <v>0</v>
      </c>
    </row>
    <row r="91" spans="1:7" x14ac:dyDescent="0.25">
      <c r="A91" s="5">
        <v>46333</v>
      </c>
      <c r="B91" s="6"/>
      <c r="C91" s="6"/>
      <c r="D91" s="7"/>
      <c r="E91" s="7" t="str">
        <f t="shared" si="2"/>
        <v/>
      </c>
      <c r="F91" s="7"/>
      <c r="G91" s="7"/>
    </row>
    <row r="92" spans="1:7" x14ac:dyDescent="0.25">
      <c r="A92" s="5">
        <v>46334</v>
      </c>
      <c r="B92" s="6"/>
      <c r="C92" s="6"/>
      <c r="D92" s="7"/>
      <c r="E92" s="7" t="str">
        <f t="shared" si="2"/>
        <v/>
      </c>
      <c r="F92" s="7"/>
      <c r="G92" s="7"/>
    </row>
    <row r="93" spans="1:7" x14ac:dyDescent="0.25">
      <c r="A93" s="1">
        <v>46335</v>
      </c>
      <c r="E93">
        <f t="shared" si="2"/>
        <v>0</v>
      </c>
    </row>
    <row r="94" spans="1:7" x14ac:dyDescent="0.25">
      <c r="A94" s="5">
        <v>46336</v>
      </c>
      <c r="B94" s="6"/>
      <c r="C94" s="6"/>
      <c r="D94" s="7"/>
      <c r="E94" s="7" t="str">
        <f t="shared" si="2"/>
        <v/>
      </c>
      <c r="F94" s="7"/>
      <c r="G94" s="7"/>
    </row>
    <row r="95" spans="1:7" x14ac:dyDescent="0.25">
      <c r="A95" s="1">
        <v>46337</v>
      </c>
      <c r="E95">
        <f t="shared" si="2"/>
        <v>0</v>
      </c>
    </row>
    <row r="96" spans="1:7" x14ac:dyDescent="0.25">
      <c r="A96" s="1">
        <v>46338</v>
      </c>
      <c r="E96">
        <f t="shared" si="2"/>
        <v>0</v>
      </c>
    </row>
    <row r="97" spans="1:7" x14ac:dyDescent="0.25">
      <c r="A97" s="1">
        <v>46339</v>
      </c>
      <c r="E97">
        <f t="shared" si="2"/>
        <v>0</v>
      </c>
      <c r="F97" s="4">
        <f>SUM(E93:E97)</f>
        <v>0</v>
      </c>
    </row>
    <row r="98" spans="1:7" x14ac:dyDescent="0.25">
      <c r="A98" s="5">
        <v>46340</v>
      </c>
      <c r="B98" s="6"/>
      <c r="C98" s="6"/>
      <c r="D98" s="7"/>
      <c r="E98" s="7" t="str">
        <f t="shared" si="2"/>
        <v/>
      </c>
      <c r="F98" s="7"/>
      <c r="G98" s="7"/>
    </row>
    <row r="99" spans="1:7" x14ac:dyDescent="0.25">
      <c r="A99" s="5">
        <v>46341</v>
      </c>
      <c r="B99" s="6"/>
      <c r="C99" s="6"/>
      <c r="D99" s="7"/>
      <c r="E99" s="7" t="str">
        <f t="shared" si="2"/>
        <v/>
      </c>
      <c r="F99" s="7"/>
      <c r="G99" s="7"/>
    </row>
    <row r="100" spans="1:7" x14ac:dyDescent="0.25">
      <c r="A100" s="1">
        <v>46342</v>
      </c>
      <c r="E100">
        <f t="shared" si="2"/>
        <v>0</v>
      </c>
    </row>
    <row r="101" spans="1:7" x14ac:dyDescent="0.25">
      <c r="A101" s="5">
        <v>46343</v>
      </c>
      <c r="B101" s="6"/>
      <c r="C101" s="6"/>
      <c r="D101" s="7"/>
      <c r="E101" s="7" t="str">
        <f t="shared" si="2"/>
        <v/>
      </c>
      <c r="F101" s="7"/>
      <c r="G101" s="7"/>
    </row>
    <row r="102" spans="1:7" x14ac:dyDescent="0.25">
      <c r="A102" s="1">
        <v>46344</v>
      </c>
      <c r="E102">
        <f t="shared" si="2"/>
        <v>0</v>
      </c>
    </row>
    <row r="103" spans="1:7" x14ac:dyDescent="0.25">
      <c r="A103" s="1">
        <v>46345</v>
      </c>
      <c r="E103">
        <f t="shared" si="2"/>
        <v>0</v>
      </c>
    </row>
    <row r="104" spans="1:7" x14ac:dyDescent="0.25">
      <c r="A104" s="1">
        <v>46346</v>
      </c>
      <c r="E104">
        <f t="shared" si="2"/>
        <v>0</v>
      </c>
      <c r="F104" s="4">
        <f>SUM(E100:E104)</f>
        <v>0</v>
      </c>
    </row>
    <row r="105" spans="1:7" x14ac:dyDescent="0.25">
      <c r="A105" s="5">
        <v>46347</v>
      </c>
      <c r="B105" s="6"/>
      <c r="C105" s="6"/>
      <c r="D105" s="7"/>
      <c r="E105" s="7" t="str">
        <f t="shared" si="2"/>
        <v/>
      </c>
      <c r="F105" s="7"/>
      <c r="G105" s="7"/>
    </row>
    <row r="106" spans="1:7" x14ac:dyDescent="0.25">
      <c r="A106" s="5">
        <v>46348</v>
      </c>
      <c r="B106" s="6"/>
      <c r="C106" s="6"/>
      <c r="D106" s="7"/>
      <c r="E106" s="7" t="str">
        <f t="shared" si="2"/>
        <v/>
      </c>
      <c r="F106" s="7"/>
      <c r="G106" s="7"/>
    </row>
    <row r="107" spans="1:7" x14ac:dyDescent="0.25">
      <c r="A107" s="1">
        <v>46349</v>
      </c>
      <c r="E107">
        <f t="shared" si="2"/>
        <v>0</v>
      </c>
    </row>
    <row r="108" spans="1:7" x14ac:dyDescent="0.25">
      <c r="A108" s="5">
        <v>46350</v>
      </c>
      <c r="B108" s="6"/>
      <c r="C108" s="6"/>
      <c r="D108" s="7"/>
      <c r="E108" s="7" t="str">
        <f t="shared" si="2"/>
        <v/>
      </c>
      <c r="F108" s="7"/>
      <c r="G108" s="7"/>
    </row>
    <row r="109" spans="1:7" x14ac:dyDescent="0.25">
      <c r="A109" s="1">
        <v>46351</v>
      </c>
      <c r="E109">
        <f t="shared" si="2"/>
        <v>0</v>
      </c>
    </row>
    <row r="110" spans="1:7" x14ac:dyDescent="0.25">
      <c r="A110" s="1">
        <v>46352</v>
      </c>
      <c r="E110">
        <f t="shared" si="2"/>
        <v>0</v>
      </c>
    </row>
    <row r="111" spans="1:7" x14ac:dyDescent="0.25">
      <c r="A111" s="1">
        <v>46353</v>
      </c>
      <c r="E111">
        <f t="shared" si="2"/>
        <v>0</v>
      </c>
      <c r="F111" s="4">
        <f>SUM(E107:E111)</f>
        <v>0</v>
      </c>
    </row>
    <row r="112" spans="1:7" x14ac:dyDescent="0.25">
      <c r="A112" s="5">
        <v>46354</v>
      </c>
      <c r="B112" s="6"/>
      <c r="C112" s="6"/>
      <c r="D112" s="7"/>
      <c r="E112" s="7" t="str">
        <f t="shared" si="2"/>
        <v/>
      </c>
      <c r="F112" s="7"/>
      <c r="G112" s="7"/>
    </row>
    <row r="113" spans="1:7" x14ac:dyDescent="0.25">
      <c r="A113" s="5">
        <v>46355</v>
      </c>
      <c r="B113" s="6"/>
      <c r="C113" s="6"/>
      <c r="D113" s="7"/>
      <c r="E113" s="7" t="str">
        <f t="shared" si="2"/>
        <v/>
      </c>
      <c r="F113" s="7"/>
      <c r="G113" s="7"/>
    </row>
    <row r="114" spans="1:7" x14ac:dyDescent="0.25">
      <c r="A114" s="1">
        <v>46356</v>
      </c>
      <c r="E114">
        <f t="shared" si="2"/>
        <v>0</v>
      </c>
    </row>
    <row r="115" spans="1:7" x14ac:dyDescent="0.25">
      <c r="A115" s="5">
        <v>46357</v>
      </c>
      <c r="B115" s="6"/>
      <c r="C115" s="6"/>
      <c r="D115" s="7"/>
      <c r="E115" s="7" t="str">
        <f t="shared" si="2"/>
        <v/>
      </c>
      <c r="F115" s="7"/>
      <c r="G115" s="7"/>
    </row>
    <row r="116" spans="1:7" x14ac:dyDescent="0.25">
      <c r="A116" s="1">
        <v>46358</v>
      </c>
      <c r="E116">
        <f t="shared" si="2"/>
        <v>0</v>
      </c>
    </row>
    <row r="117" spans="1:7" x14ac:dyDescent="0.25">
      <c r="A117" s="1">
        <v>46359</v>
      </c>
      <c r="E117">
        <f t="shared" si="2"/>
        <v>0</v>
      </c>
    </row>
    <row r="118" spans="1:7" x14ac:dyDescent="0.25">
      <c r="A118" s="1">
        <v>46360</v>
      </c>
      <c r="E118">
        <f t="shared" si="2"/>
        <v>0</v>
      </c>
      <c r="F118" s="4">
        <f>SUM(E114:E118)</f>
        <v>0</v>
      </c>
    </row>
    <row r="119" spans="1:7" x14ac:dyDescent="0.25">
      <c r="A119" s="5">
        <v>46361</v>
      </c>
      <c r="B119" s="6"/>
      <c r="C119" s="6"/>
      <c r="D119" s="7"/>
      <c r="E119" s="7" t="str">
        <f t="shared" si="2"/>
        <v/>
      </c>
      <c r="F119" s="7"/>
      <c r="G119" s="7"/>
    </row>
    <row r="120" spans="1:7" x14ac:dyDescent="0.25">
      <c r="A120" s="5">
        <v>46362</v>
      </c>
      <c r="B120" s="6"/>
      <c r="C120" s="6"/>
      <c r="D120" s="7"/>
      <c r="E120" s="7" t="str">
        <f t="shared" si="2"/>
        <v/>
      </c>
      <c r="F120" s="7"/>
      <c r="G120" s="7"/>
    </row>
    <row r="121" spans="1:7" x14ac:dyDescent="0.25">
      <c r="A121" s="1">
        <v>46363</v>
      </c>
      <c r="E121">
        <f t="shared" si="2"/>
        <v>0</v>
      </c>
    </row>
    <row r="122" spans="1:7" x14ac:dyDescent="0.25">
      <c r="A122" s="5">
        <v>46364</v>
      </c>
      <c r="B122" s="6"/>
      <c r="C122" s="6"/>
      <c r="D122" s="7"/>
      <c r="E122" s="7" t="str">
        <f t="shared" si="2"/>
        <v/>
      </c>
      <c r="F122" s="7"/>
      <c r="G122" s="7"/>
    </row>
    <row r="123" spans="1:7" x14ac:dyDescent="0.25">
      <c r="A123" s="1">
        <v>46365</v>
      </c>
      <c r="E123">
        <f t="shared" si="2"/>
        <v>0</v>
      </c>
    </row>
    <row r="124" spans="1:7" x14ac:dyDescent="0.25">
      <c r="A124" s="1">
        <v>46366</v>
      </c>
      <c r="E124">
        <f t="shared" si="2"/>
        <v>0</v>
      </c>
    </row>
    <row r="125" spans="1:7" x14ac:dyDescent="0.25">
      <c r="A125" s="1">
        <v>46367</v>
      </c>
      <c r="E125">
        <f t="shared" si="2"/>
        <v>0</v>
      </c>
      <c r="F125" s="4">
        <f>SUM(E121:E125)</f>
        <v>0</v>
      </c>
    </row>
    <row r="126" spans="1:7" x14ac:dyDescent="0.25">
      <c r="A126" s="5">
        <v>46368</v>
      </c>
      <c r="B126" s="6"/>
      <c r="C126" s="6"/>
      <c r="D126" s="7"/>
      <c r="E126" s="7" t="str">
        <f t="shared" si="2"/>
        <v/>
      </c>
      <c r="F126" s="7"/>
      <c r="G126" s="7"/>
    </row>
    <row r="127" spans="1:7" x14ac:dyDescent="0.25">
      <c r="A127" s="5">
        <v>46369</v>
      </c>
      <c r="B127" s="6"/>
      <c r="C127" s="6"/>
      <c r="D127" s="7"/>
      <c r="E127" s="7" t="str">
        <f t="shared" si="2"/>
        <v/>
      </c>
      <c r="F127" s="7"/>
      <c r="G127" s="7"/>
    </row>
    <row r="128" spans="1:7" x14ac:dyDescent="0.25">
      <c r="A128" s="1">
        <v>46370</v>
      </c>
      <c r="E128">
        <f t="shared" si="2"/>
        <v>0</v>
      </c>
    </row>
    <row r="129" spans="1:7" x14ac:dyDescent="0.25">
      <c r="A129" s="5">
        <v>46371</v>
      </c>
      <c r="B129" s="6"/>
      <c r="C129" s="6"/>
      <c r="D129" s="7"/>
      <c r="E129" s="7" t="str">
        <f t="shared" si="2"/>
        <v/>
      </c>
      <c r="F129" s="7"/>
      <c r="G129" s="7"/>
    </row>
    <row r="130" spans="1:7" x14ac:dyDescent="0.25">
      <c r="A130" s="1">
        <v>46372</v>
      </c>
      <c r="E130">
        <f t="shared" si="2"/>
        <v>0</v>
      </c>
    </row>
    <row r="131" spans="1:7" x14ac:dyDescent="0.25">
      <c r="A131" s="1">
        <v>46373</v>
      </c>
      <c r="E131">
        <f t="shared" si="2"/>
        <v>0</v>
      </c>
    </row>
    <row r="132" spans="1:7" x14ac:dyDescent="0.25">
      <c r="A132" s="1">
        <v>46374</v>
      </c>
      <c r="E132">
        <f t="shared" si="2"/>
        <v>0</v>
      </c>
      <c r="F132" s="4">
        <f>SUM(E128:E132)</f>
        <v>0</v>
      </c>
    </row>
    <row r="133" spans="1:7" x14ac:dyDescent="0.25">
      <c r="A133" s="5">
        <v>46375</v>
      </c>
      <c r="B133" s="6"/>
      <c r="C133" s="6"/>
      <c r="D133" s="7"/>
      <c r="E133" s="7" t="str">
        <f t="shared" si="2"/>
        <v/>
      </c>
      <c r="F133" s="7"/>
      <c r="G133" s="7"/>
    </row>
    <row r="134" spans="1:7" x14ac:dyDescent="0.25">
      <c r="A134" s="5">
        <v>46376</v>
      </c>
      <c r="B134" s="6"/>
      <c r="C134" s="6"/>
      <c r="D134" s="7"/>
      <c r="E134" s="7" t="str">
        <f t="shared" si="2"/>
        <v/>
      </c>
      <c r="F134" s="7"/>
      <c r="G134" s="7"/>
    </row>
    <row r="135" spans="1:7" x14ac:dyDescent="0.25">
      <c r="A135" s="1">
        <v>46377</v>
      </c>
      <c r="E135">
        <f t="shared" si="2"/>
        <v>0</v>
      </c>
    </row>
    <row r="136" spans="1:7" x14ac:dyDescent="0.25">
      <c r="A136" s="5">
        <v>46378</v>
      </c>
      <c r="B136" s="6"/>
      <c r="C136" s="6"/>
      <c r="D136" s="7"/>
      <c r="E136" s="7" t="str">
        <f t="shared" ref="E136:E145" si="3">IF(OR(WEEKDAY($A136,1)=3,WEEKDAY($A136,1)=7,WEEKDAY($A136,1)=1),"",IF($G136="Public Holiday",$I$2,(C136-B136-D136)*24))</f>
        <v/>
      </c>
      <c r="F136" s="7"/>
      <c r="G136" s="7"/>
    </row>
    <row r="137" spans="1:7" x14ac:dyDescent="0.25">
      <c r="A137" s="1">
        <v>46379</v>
      </c>
      <c r="E137">
        <f t="shared" si="3"/>
        <v>0</v>
      </c>
    </row>
    <row r="138" spans="1:7" x14ac:dyDescent="0.25">
      <c r="A138" s="1">
        <v>46380</v>
      </c>
      <c r="E138">
        <f t="shared" si="3"/>
        <v>0</v>
      </c>
    </row>
    <row r="139" spans="1:7" x14ac:dyDescent="0.25">
      <c r="A139" s="1">
        <v>46381</v>
      </c>
      <c r="E139">
        <f t="shared" si="3"/>
        <v>0</v>
      </c>
      <c r="F139" s="4">
        <f>SUM(E135:E139)</f>
        <v>0</v>
      </c>
    </row>
    <row r="140" spans="1:7" x14ac:dyDescent="0.25">
      <c r="A140" s="5">
        <v>46382</v>
      </c>
      <c r="B140" s="6"/>
      <c r="C140" s="6"/>
      <c r="D140" s="7"/>
      <c r="E140" s="7" t="str">
        <f t="shared" si="3"/>
        <v/>
      </c>
      <c r="F140" s="7"/>
      <c r="G140" s="7"/>
    </row>
    <row r="141" spans="1:7" x14ac:dyDescent="0.25">
      <c r="A141" s="5">
        <v>46383</v>
      </c>
      <c r="B141" s="6"/>
      <c r="C141" s="6"/>
      <c r="D141" s="7"/>
      <c r="E141" s="7" t="str">
        <f t="shared" si="3"/>
        <v/>
      </c>
      <c r="F141" s="7"/>
      <c r="G141" s="7"/>
    </row>
    <row r="142" spans="1:7" x14ac:dyDescent="0.25">
      <c r="A142" s="1">
        <v>46384</v>
      </c>
      <c r="E142">
        <f t="shared" si="3"/>
        <v>0</v>
      </c>
    </row>
    <row r="143" spans="1:7" x14ac:dyDescent="0.25">
      <c r="A143" s="5">
        <v>46385</v>
      </c>
      <c r="B143" s="6"/>
      <c r="C143" s="6"/>
      <c r="D143" s="7"/>
      <c r="E143" s="7" t="str">
        <f t="shared" si="3"/>
        <v/>
      </c>
      <c r="F143" s="7"/>
      <c r="G143" s="7"/>
    </row>
    <row r="144" spans="1:7" x14ac:dyDescent="0.25">
      <c r="A144" s="1">
        <v>46386</v>
      </c>
      <c r="E144">
        <f t="shared" si="3"/>
        <v>0</v>
      </c>
    </row>
    <row r="145" spans="1:5" x14ac:dyDescent="0.25">
      <c r="A145" s="1">
        <v>46387</v>
      </c>
      <c r="E145">
        <f t="shared" si="3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Forbes</dc:creator>
  <cp:lastModifiedBy>Ellen Forbes</cp:lastModifiedBy>
  <dcterms:created xsi:type="dcterms:W3CDTF">2026-08-09T22:27:12Z</dcterms:created>
  <dcterms:modified xsi:type="dcterms:W3CDTF">2026-08-14T06:56:00Z</dcterms:modified>
</cp:coreProperties>
</file>